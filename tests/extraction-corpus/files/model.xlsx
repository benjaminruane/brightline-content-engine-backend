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<sst xmlns="http://schemas.openxmlformats.org/spreadsheetml/2006/main" count="15" uniqueCount="15">
  <si>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Vantor Systems - Model Assumptions</t>
  </si>
  <si>
    <t xml:space="preserve">SHEET1 ANCHOR</t>
  </si>
  <si>
    <t xml:space="preserve">Assumptions tab</t>
  </si>
  <si>
    <t xml:space="preserve">Revenue FY2023 ($mm)</t>
  </si>
  <si>
    <t xml:space="preserve">Revenue FY2024 ($mm)</t>
  </si>
  <si>
    <t xml:space="preserve">Staff headcount</t>
  </si>
  <si>
    <t xml:space="preserve">Gross margin</t>
  </si>
  <si>
    <t xml:space="preserve">ARPU ($/month)</t>
  </si>
  <si>
    <t xml:space="preserve">Vantor Systems - Summary</t>
  </si>
  <si>
    <t xml:space="preserve">SHEET2 ANCHOR</t>
  </si>
  <si>
    <t xml:space="preserve">Summary tab</t>
  </si>
  <si>
    <t xml:space="preserve">Revenue growth ($mm)</t>
  </si>
  <si>
    <t xml:space="preserve">MOIC (base case)</t>
  </si>
  <si>
    <t xml:space="preserve">Gross IRR (base case)</t>
  </si>
  <si>
    <t xml:space="preserve">Total FY revenue ($mm)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</si>
</sst>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n">
        <v>18</v>
      </c>
    </row>
    <row r="5" customFormat="false" ht="15" hidden="false" customHeight="false" outlineLevel="0" collapsed="false">
      <c r="A5" s="0" t="s">
        <v>4</v>
      </c>
      <c r="B5" s="0" t="n">
        <v>24</v>
      </c>
    </row>
    <row r="6" customFormat="false" ht="15" hidden="false" customHeight="false" outlineLevel="0" collapsed="false">
      <c r="A6" s="0" t="s">
        <v>5</v>
      </c>
      <c r="B6" s="0" t="n">
        <v>142</v>
      </c>
    </row>
    <row r="7" customFormat="false" ht="15" hidden="false" customHeight="false" outlineLevel="0" collapsed="false">
      <c r="A7" s="0" t="s">
        <v>6</v>
      </c>
      <c r="B7" s="0" t="n">
        <v>0.78</v>
      </c>
    </row>
    <row r="8" customFormat="false" ht="15" hidden="false" customHeight="false" outlineLevel="0" collapsed="false">
      <c r="A8" s="0" t="s">
        <v>7</v>
      </c>
      <c r="B8" s="0" t="n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</row>
    <row r="4" customFormat="false" ht="15" hidden="false" customHeight="false" outlineLevel="0" collapsed="false">
      <c r="A4" s="0" t="s">
        <v>11</v>
      </c>
      <c r="B4" s="0" t="n">
        <f aca="false">Assumptions!B5-Assumptions!B4</f>
        <v>6</v>
      </c>
    </row>
    <row r="5" customFormat="false" ht="15" hidden="false" customHeight="false" outlineLevel="0" collapsed="false">
      <c r="A5" s="0" t="s">
        <v>12</v>
      </c>
      <c r="B5" s="0" t="n">
        <v>2.8</v>
      </c>
    </row>
    <row r="6" customFormat="false" ht="15" hidden="false" customHeight="false" outlineLevel="0" collapsed="false">
      <c r="A6" s="0" t="s">
        <v>13</v>
      </c>
      <c r="B6" s="0" t="n">
        <v>0.23</v>
      </c>
    </row>
    <row r="7" customFormat="false" ht="15" hidden="false" customHeight="false" outlineLevel="0" collapsed="false">
      <c r="A7" s="0" t="s">
        <v>14</v>
      </c>
      <c r="B7" s="0" t="n">
        <f aca="false">SUM(Assumptions!B4:B5)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2026-08-02T08:38:56Z</dcterms:created>
  <dc:creator>openpyxl</dc:creator>
  <dc:description/>
  <dc:language>en-US</dc:language>
  <cp:lastModifiedBy/>
  <dcterms:modified xsi:type="dcterms:W3CDTF">2026-08-02T08:38:56Z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